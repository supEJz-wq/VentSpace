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freeSpace-main\qa\manual\test-cases\Database\"/>
    </mc:Choice>
  </mc:AlternateContent>
  <xr:revisionPtr revIDLastSave="0" documentId="13_ncr:1_{9A227BA9-3F94-47EC-9346-663C6EF4CB5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ummary" sheetId="1" r:id="rId1"/>
    <sheet name="DB Posts" sheetId="2" r:id="rId2"/>
    <sheet name="DB Comments" sheetId="3" r:id="rId3"/>
    <sheet name="DB Reported Posts" sheetId="4" r:id="rId4"/>
    <sheet name="DB Map Notes" sheetId="5" r:id="rId5"/>
    <sheet name="DB Postcards" sheetId="6" r:id="rId6"/>
    <sheet name="DB Bug Reports" sheetId="7" r:id="rId7"/>
    <sheet name="DB Device Identities" sheetId="8" r:id="rId8"/>
    <sheet name="DB Settings" sheetId="9" r:id="rId9"/>
    <sheet name="Test Data" sheetId="10" r:id="rId10"/>
    <sheet name="Options" sheetId="11" state="hidden" r:id="rId11"/>
  </sheets>
  <definedNames>
    <definedName name="_xlnm._FilterDatabase" localSheetId="6" hidden="1">'DB Bug Reports'!$A$1:$I$5</definedName>
    <definedName name="_xlnm._FilterDatabase" localSheetId="2" hidden="1">'DB Comments'!$A$1:$I$6</definedName>
    <definedName name="_xlnm._FilterDatabase" localSheetId="7" hidden="1">'DB Device Identities'!$A$1:$I$4</definedName>
    <definedName name="_xlnm._FilterDatabase" localSheetId="4" hidden="1">'DB Map Notes'!$A$1:$I$6</definedName>
    <definedName name="_xlnm._FilterDatabase" localSheetId="5" hidden="1">'DB Postcards'!$A$1:$I$5</definedName>
    <definedName name="_xlnm._FilterDatabase" localSheetId="1" hidden="1">'DB Posts'!$A$1:$I$11</definedName>
    <definedName name="_xlnm._FilterDatabase" localSheetId="3" hidden="1">'DB Reported Posts'!$A$1:$I$5</definedName>
    <definedName name="_xlnm._FilterDatabase" localSheetId="8" hidden="1">'DB Settings'!$A$1:$I$5</definedName>
    <definedName name="_xlnm._FilterDatabase" localSheetId="9" hidden="1">'Test Data'!$A$1:$E$26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D9" i="1"/>
  <c r="C9" i="1"/>
  <c r="B9" i="1"/>
  <c r="E9" i="1" s="1"/>
  <c r="D8" i="1"/>
  <c r="F8" i="1" s="1"/>
  <c r="C8" i="1"/>
  <c r="B8" i="1"/>
  <c r="E8" i="1" s="1"/>
  <c r="D7" i="1"/>
  <c r="F7" i="1" s="1"/>
  <c r="C7" i="1"/>
  <c r="B7" i="1"/>
  <c r="E7" i="1" s="1"/>
  <c r="F6" i="1"/>
  <c r="E6" i="1"/>
  <c r="D6" i="1"/>
  <c r="C6" i="1"/>
  <c r="B6" i="1"/>
  <c r="D5" i="1"/>
  <c r="F5" i="1" s="1"/>
  <c r="C5" i="1"/>
  <c r="B5" i="1"/>
  <c r="E5" i="1" s="1"/>
  <c r="D4" i="1"/>
  <c r="F4" i="1" s="1"/>
  <c r="C4" i="1"/>
  <c r="B4" i="1"/>
  <c r="E4" i="1" s="1"/>
  <c r="D3" i="1"/>
  <c r="F3" i="1" s="1"/>
  <c r="C3" i="1"/>
  <c r="B3" i="1"/>
  <c r="D2" i="1"/>
  <c r="C2" i="1"/>
  <c r="F2" i="1" s="1"/>
  <c r="B2" i="1"/>
  <c r="B10" i="1" s="1"/>
  <c r="E3" i="1" l="1"/>
  <c r="E2" i="1"/>
  <c r="C10" i="1"/>
  <c r="D10" i="1"/>
  <c r="F10" i="1" l="1"/>
  <c r="E10" i="1"/>
</calcChain>
</file>

<file path=xl/sharedStrings.xml><?xml version="1.0" encoding="utf-8"?>
<sst xmlns="http://schemas.openxmlformats.org/spreadsheetml/2006/main" count="525" uniqueCount="347">
  <si>
    <t>TC ID</t>
  </si>
  <si>
    <t>Title</t>
  </si>
  <si>
    <t>Precondition</t>
  </si>
  <si>
    <t>Test Steps</t>
  </si>
  <si>
    <t>SQL Query</t>
  </si>
  <si>
    <t>Expected Result</t>
  </si>
  <si>
    <t>Actual Result</t>
  </si>
  <si>
    <t>Status</t>
  </si>
  <si>
    <t>Test Data</t>
  </si>
  <si>
    <t>TC_DBP_01</t>
  </si>
  <si>
    <t>Verify a newly created post is saved in the database</t>
  </si>
  <si>
    <t>1. VentSpace app is running at http://localhost:5173.
2. Supabase Dashboard (SQL Editor or Table Editor) is open.
3. Tester has no locked name yet (fresh device).</t>
  </si>
  <si>
    <t>1. Open the dashboard (/home).
2. Click "Post Something".
3. Enter name DBTester, mood Happy, text "My first DB test post".
4. Submit the post.
5. Open Supabase Table Editor -&gt; posts.
6. Run the SQL query.</t>
  </si>
  <si>
    <t>SELECT * FROM posts WHERE text = 'My first DB test post' ORDER BY created_at DESC LIMIT 1;</t>
  </si>
  <si>
    <t>The query returns exactly one row with username = DBTester, mood = Happy, is_deleted = false, likes = 0.</t>
  </si>
  <si>
    <t xml:space="preserve">	As expected.</t>
  </si>
  <si>
    <t>Passed</t>
  </si>
  <si>
    <t>TD_DB_01, TD_DB_02, TD_DB_03</t>
  </si>
  <si>
    <t>TC_DBP_02</t>
  </si>
  <si>
    <t>Verify post fields save with correct data types</t>
  </si>
  <si>
    <t>1. Post created in TC_DBP_01 exists.</t>
  </si>
  <si>
    <t>1. In Supabase, run the SQL query.
2. Check each column's type and value.</t>
  </si>
  <si>
    <t>SELECT id, username, mood, likes, reactions, device_id, is_deleted, created_at FROM posts WHERE text = 'My first DB test post';</t>
  </si>
  <si>
    <t>The row shows id as bigint, username as text, reactions as empty jsonb {}, device_id as uuid, is_deleted as boolean false, created_at as timestamptz.</t>
  </si>
  <si>
    <t>TC_DBP_03</t>
  </si>
  <si>
    <t>Verify liking a post updates the likes count in the database</t>
  </si>
  <si>
    <t>1. The TC_DBP_01 test post is visible in the feed.</t>
  </si>
  <si>
    <t>1. In the dashboard feed, click the Like button on the test post.
2. Note the displayed like count.
3. Run the SQL query.</t>
  </si>
  <si>
    <t>SELECT reactions FROM posts WHERE text = 'My first DB test post';</t>
  </si>
  <si>
    <t>The reactions column returns the count increased by one, matching the number shown in the UI.</t>
  </si>
  <si>
    <t>TD_DB_01</t>
  </si>
  <si>
    <t>TC_DBP_04</t>
  </si>
  <si>
    <t>Verify adding a reaction updates the reactions jsonb column</t>
  </si>
  <si>
    <t>1. Open the reaction picker on the test post.
2. Pick the heart reaction.
3. Run the SQL query.</t>
  </si>
  <si>
    <t>The reactions jsonb contains the heart emoji key with count 1.</t>
  </si>
  <si>
    <t>TD_DB_04</t>
  </si>
  <si>
    <t>TC_DBP_05</t>
  </si>
  <si>
    <t>Verify a deleted post is soft-deleted in the database (is_deleted flag)</t>
  </si>
  <si>
    <t>1. The TC_DBP_01 test post is owned by this device.</t>
  </si>
  <si>
    <t>1. In the feed, click Delete on the test post and confirm.
2. Run the SQL query.</t>
  </si>
  <si>
    <t>SELECT id, is_deleted FROM posts WHERE text = 'My first DB test post';</t>
  </si>
  <si>
    <t>The row still exists with is_deleted = true (soft delete), and the post no longer appears in the feed.</t>
  </si>
  <si>
    <t>TC_DBP_06</t>
  </si>
  <si>
    <t>Verify app delete soft-deletes the post and keeps its comments in the database</t>
  </si>
  <si>
    <t>1. VentSpace app is running at http://localhost:5173.
2. Supabase Dashboard (SQL Editor or Table Editor) is open.
3. A test post with at least one comment exists.</t>
  </si>
  <si>
    <t>1. In the feed, click Delete on the test post and confirm.
2. Run the post-row query.
3. Run the comment-count query.</t>
  </si>
  <si>
    <t>SELECT id, is_deleted FROM posts WHERE text = 'My first DB test post';
SELECT COUNT(*) FROM comments WHERE post_id = &lt;TEST_POST_ID&gt;;</t>
  </si>
  <si>
    <t>The post row still exists with is_deleted = true, and the comment count returns 0 — the delete also removed its comments and its report-queue entry.</t>
  </si>
  <si>
    <t>TC_DBP_07</t>
  </si>
  <si>
    <t>Verify hard-deleting a post cascades to its comments in the database</t>
  </si>
  <si>
    <t>1. In Supabase SQL Editor, run: DELETE FROM posts WHERE id = &lt;TEST_POST_ID&gt;;
2. Run the SQL query.</t>
  </si>
  <si>
    <t>SELECT COUNT(*) FROM comments WHERE post_id = &lt;TEST_POST_ID&gt;;</t>
  </si>
  <si>
    <t>The count returns 0 — the comments were removed automatically via cascade.</t>
  </si>
  <si>
    <t>TC_DBP_08</t>
  </si>
  <si>
    <t>Verify the posts rate limit is enforced per device in the database</t>
  </si>
  <si>
    <t>1. The test device already created 5 posts within the auto-delete window.</t>
  </si>
  <si>
    <t>1. Try creating a 6th post from the same device in the app.
2. Observe the app error.
3. Run the SQL query.</t>
  </si>
  <si>
    <t>SELECT COUNT(*) FROM posts WHERE device_id = '&lt;TEST_DEVICE_ID&gt;' AND created_at &gt;= now() - interval '5 hours';</t>
  </si>
  <si>
    <t>The count remains 5; the 6th post was rejected and no new row exists.</t>
  </si>
  <si>
    <t>TD_DB_05</t>
  </si>
  <si>
    <t>TC_DBP_09</t>
  </si>
  <si>
    <t>Verify a blacklisted word in a post is rejected and not saved</t>
  </si>
  <si>
    <t>1. Admin settings contain the word testban in blacklisted_words.</t>
  </si>
  <si>
    <t>1. In the app, create a post containing the word testban.
2. Observe the app error.
3. Run the SQL query.</t>
  </si>
  <si>
    <t>SELECT COUNT(*) FROM posts WHERE text ILIKE '%testban%';</t>
  </si>
  <si>
    <t>The count returns 0 — the blocked post never reached the database.</t>
  </si>
  <si>
    <t>TD_DB_06</t>
  </si>
  <si>
    <t>TC_DBP_10</t>
  </si>
  <si>
    <t>Verify deleting a reported post also clears its report-queue entry</t>
  </si>
  <si>
    <t>1. VentSpace app is running at http://localhost:5173.
2. Supabase Dashboard (SQL Editor or Table Editor) is open.
3. A test post is reported (flagged via the app).</t>
  </si>
  <si>
    <t>1. In the feed, click Delete on the reported test post and confirm.
2. Run the SQL query.</t>
  </si>
  <si>
    <t>SELECT COUNT(*) FROM reported_posts WHERE post_id = &lt;TEST_POST_ID&gt;;</t>
  </si>
  <si>
    <t>The count returns 0 — the delete removed the report entry along with the post's comments.</t>
  </si>
  <si>
    <t>TD_DB_10</t>
  </si>
  <si>
    <t>Module</t>
  </si>
  <si>
    <t>Total TC</t>
  </si>
  <si>
    <t>Pass</t>
  </si>
  <si>
    <t>Fail</t>
  </si>
  <si>
    <t>Progress</t>
  </si>
  <si>
    <t>DB Posts</t>
  </si>
  <si>
    <t>DB Comments</t>
  </si>
  <si>
    <t>DB Reported Posts</t>
  </si>
  <si>
    <t>DB Map Notes</t>
  </si>
  <si>
    <t>DB Postcards</t>
  </si>
  <si>
    <t>DB Bug Reports</t>
  </si>
  <si>
    <t>DB Device Identities</t>
  </si>
  <si>
    <t>DB Settings</t>
  </si>
  <si>
    <t>TOTAL</t>
  </si>
  <si>
    <t>TC_DBPCM_01</t>
  </si>
  <si>
    <t>Verify a newly added comment is saved in the database</t>
  </si>
  <si>
    <t>1. VentSpace app is running at http://localhost:5173.
2. Supabase Dashboard (SQL Editor or Table Editor) is open.
3. At least one post exists in the feed.</t>
  </si>
  <si>
    <t>1. Open the comments of a post.
2. Add the comment "My first DB comment".
3. Run the SQL query.</t>
  </si>
  <si>
    <t>SELECT * FROM comments WHERE text = 'My first DB comment' ORDER BY created_at DESC LIMIT 1;</t>
  </si>
  <si>
    <t>The query returns one row with the correct post_id, username, parent_id null, is_deleted false.</t>
  </si>
  <si>
    <t>TD_DB_07</t>
  </si>
  <si>
    <t>TC_DBPCM_02</t>
  </si>
  <si>
    <t>Verify a reply comment saves with the correct parent_id</t>
  </si>
  <si>
    <t>1. A parent comment exists (TC_DBPCM_01).</t>
  </si>
  <si>
    <t>1. Click Reply on the parent comment.
2. Submit the reply "Nested reply test".
3. Run the SQL query.</t>
  </si>
  <si>
    <t>SELECT id, parent_id, text FROM comments WHERE text = 'Nested reply test';</t>
  </si>
  <si>
    <t>The row's parent_id equals the parent comment's id, forming the nested thread.</t>
  </si>
  <si>
    <t>TD_DB_08</t>
  </si>
  <si>
    <t>TC_DBPCM_03</t>
  </si>
  <si>
    <t>Verify editing-like flows (reactions) update the comment row</t>
  </si>
  <si>
    <t>1. A test comment exists (TC_DBPCM_01).</t>
  </si>
  <si>
    <t>1. React to the comment with an emoji in the app.
2. Run the SQL query.</t>
  </si>
  <si>
    <t>SELECT reactions FROM comments WHERE text = 'My first DB comment';</t>
  </si>
  <si>
    <t>The reactions jsonb contains the chosen emoji with count 1.</t>
  </si>
  <si>
    <t>TC_DBPCM_04</t>
  </si>
  <si>
    <t>Verify deleting a comment removes the row from the database</t>
  </si>
  <si>
    <t>1. The test comment is owned by this device.</t>
  </si>
  <si>
    <t>1. Click Delete on your comment in the app.
2. Run the SQL query.</t>
  </si>
  <si>
    <t>SELECT COUNT(*) FROM comments WHERE text = 'My first DB comment';</t>
  </si>
  <si>
    <t>The count returns 0 — the comment row is deleted.</t>
  </si>
  <si>
    <t>TC_DBPCM_05</t>
  </si>
  <si>
    <t>Verify a comment from another device cannot be deleted by this user</t>
  </si>
  <si>
    <t>1. A comment from a different device exists on a post.</t>
  </si>
  <si>
    <t>1. Locate the other device's comment in the app.
2. Confirm no Delete option appears.
3. Run the SQL query.</t>
  </si>
  <si>
    <t>SELECT device_id FROM comments WHERE id = &lt;OTHER_COMMENT_ID&gt;;</t>
  </si>
  <si>
    <t>The row's device_id differs from the current device; the app exposes no delete action for it.</t>
  </si>
  <si>
    <t>TD_DB_09</t>
  </si>
  <si>
    <t>TC_DBR_01</t>
  </si>
  <si>
    <t>Verify reporting a post saves a row in reported_posts</t>
  </si>
  <si>
    <t>1. Click Report (flag) on a test post and confirm.
2. Run the SQL query.</t>
  </si>
  <si>
    <t>SELECT * FROM reported_posts WHERE post_id = &lt;TEST_POST_ID&gt;;</t>
  </si>
  <si>
    <t>One row exists with the correct post_id and a created_at timestamp.</t>
  </si>
  <si>
    <t>TC_DBR_02</t>
  </si>
  <si>
    <t>Verify the report row links to a real post (foreign key)</t>
  </si>
  <si>
    <t>1. A report row exists (TC_DBR_01).</t>
  </si>
  <si>
    <t>1. Run the SQL query joining both tables.</t>
  </si>
  <si>
    <t>SELECT r.post_id, p.text FROM reported_posts r JOIN posts p ON p.id = r.post_id WHERE r.post_id = &lt;TEST_POST_ID&gt;;</t>
  </si>
  <si>
    <t>The join returns the report row together with the flagged post's text.</t>
  </si>
  <si>
    <t>TC_DBR_03</t>
  </si>
  <si>
    <t>Verify un-reporting removes the row from reported_posts</t>
  </si>
  <si>
    <t>1. In the app, un-report the same post.
2. Run the SQL query.</t>
  </si>
  <si>
    <t>The count returns 0 — the report row was deleted.</t>
  </si>
  <si>
    <t>TC_DBR_04</t>
  </si>
  <si>
    <t>Verify the admin moderation queue reflects the DB report</t>
  </si>
  <si>
    <t>1. A report row exists.
2. Admin can log in.</t>
  </si>
  <si>
    <t>1. Log into /admin.
2. Open the Posts tab, Reported filter.
3. Run the SQL query and compare.</t>
  </si>
  <si>
    <t>SELECT post_id FROM reported_posts ORDER BY created_at DESC;</t>
  </si>
  <si>
    <t>The posts listed in the admin Reported queue match the post_ids returned by the query.</t>
  </si>
  <si>
    <t>TC_DBM_01</t>
  </si>
  <si>
    <t>Verify a placed map note is saved with the correct location</t>
  </si>
  <si>
    <t>1. VentSpace app is running at http://localhost:5173.
2. Supabase Dashboard (SQL Editor or Table Editor) is open.
3. Map finished loading.</t>
  </si>
  <si>
    <t>1. Click a spot inside the Philippines (e.g. Manila).
2. Enter name DBMapTester and message "DB map note test".
3. Submit.
4. Run the SQL query.</t>
  </si>
  <si>
    <t>SELECT name, message, latitude, longitude FROM map_notes WHERE message = 'DB map note test';</t>
  </si>
  <si>
    <t>One row exists with the name, message, and latitude/longitude near the clicked spot (inside PH bounds).</t>
  </si>
  <si>
    <t>TD_DB_11, TD_DB_12, TD_DB_13</t>
  </si>
  <si>
    <t>TC_DBM_02</t>
  </si>
  <si>
    <t>Verify the note's expires_at is set 5 hours ahead</t>
  </si>
  <si>
    <t>1. A test note exists (TC_DBM_01).</t>
  </si>
  <si>
    <t>1. Run the SQL query.</t>
  </si>
  <si>
    <t>SELECT created_at, expires_at, expires_at - created_at AS lifetime FROM map_notes WHERE message = 'DB map note test';</t>
  </si>
  <si>
    <t>The lifetime is 5 hours; expires_at = created_at + 5h.</t>
  </si>
  <si>
    <t>TD_DB_12</t>
  </si>
  <si>
    <t>TC_DBM_03</t>
  </si>
  <si>
    <t>Verify a note outside Philippine bounds is rejected</t>
  </si>
  <si>
    <t>1. Map finished loading.</t>
  </si>
  <si>
    <t>1. Try placing a pin on ocean outside PH.
2. Observe the app toast.
3. Run the SQL query.</t>
  </si>
  <si>
    <t>SELECT COUNT(*) FROM map_notes WHERE latitude NOT BETWEEN 4.4 AND 21.2 OR longitude NOT BETWEEN 115.0 AND 131.0;</t>
  </si>
  <si>
    <t>The count returns 0 — no out-of-bounds row can exist (DB check constraint).</t>
  </si>
  <si>
    <t>TD_DB_14</t>
  </si>
  <si>
    <t>TC_DBM_04</t>
  </si>
  <si>
    <t>Verify a deleted (admin-removed) note is removed from the database</t>
  </si>
  <si>
    <t>1. A test note exists.
2. Admin can log in.</t>
  </si>
  <si>
    <t>1. In /admin -&gt; Map Notes, delete the test note.
2. Run the SQL query.</t>
  </si>
  <si>
    <t>SELECT COUNT(*) FROM map_notes WHERE message = 'DB map note test';</t>
  </si>
  <si>
    <t>The count returns 0 — the row was deleted.</t>
  </si>
  <si>
    <t>TC_DBM_05</t>
  </si>
  <si>
    <t>Verify the note counter matches the active rows</t>
  </si>
  <si>
    <t>1. Notes exist with mixed expiry states.</t>
  </si>
  <si>
    <t>1. Open /map and note the "active notes" badge count.
2. Run the SQL query and compare.</t>
  </si>
  <si>
    <t>SELECT COUNT(*) FROM map_notes WHERE expires_at &gt; now();</t>
  </si>
  <si>
    <t>The query count equals the active notes badge shown in the UI.</t>
  </si>
  <si>
    <t>TC_DBPC_01</t>
  </si>
  <si>
    <t>Verify a shared postcard is saved in the database</t>
  </si>
  <si>
    <t>1. VentSpace app is running at http://localhost:5173.
2. Supabase Dashboard (SQL Editor or Table Editor) is open.</t>
  </si>
  <si>
    <t>1. Open the postcard creator (/postcard).
2. Fill To = DB To, From = DB From, message "DB postcard message".
3. Click Share to Wall.
4. Run the SQL query.</t>
  </si>
  <si>
    <t>SELECT * FROM postcards WHERE message = 'DB postcard message' ORDER BY created_at DESC LIMIT 1;</t>
  </si>
  <si>
    <t>One row exists with the correct to/from values, message and style columns (bg_type, font, stickers).</t>
  </si>
  <si>
    <t>TD_DB_15, TD_DB_16</t>
  </si>
  <si>
    <t>TC_DBPC_02</t>
  </si>
  <si>
    <t>Verify postcard sticker positions are stored as jsonb</t>
  </si>
  <si>
    <t>1. A test postcard with 2 placed stickers exists (TC_DBPC_01 flow).</t>
  </si>
  <si>
    <t>1. Add two stickers and position them before sharing.
2. Run the SQL query.</t>
  </si>
  <si>
    <t>SELECT stickers FROM postcards WHERE message = 'DB postcard message';</t>
  </si>
  <si>
    <t>The stickers column holds a jsonb array like [{emoji, x, y}, {emoji, x, y}] with the placed positions.</t>
  </si>
  <si>
    <t>TD_DB_15, TD_DB_16, TD_DB_17</t>
  </si>
  <si>
    <t>TC_DBPC_03</t>
  </si>
  <si>
    <t>Verify a deleted postcard is removed from the database</t>
  </si>
  <si>
    <t>1. A test postcard exists.
2. Admin can log in.</t>
  </si>
  <si>
    <t>1. In /admin -&gt; Postcards, delete the test postcard.
2. Run the SQL query.</t>
  </si>
  <si>
    <t>SELECT COUNT(*) FROM postcards WHERE message = 'DB postcard message';</t>
  </si>
  <si>
    <t>TD_DB_16</t>
  </si>
  <si>
    <t>TC_DBPC_04</t>
  </si>
  <si>
    <t>Verify the postcard share limit blocks a 6th card in 24h</t>
  </si>
  <si>
    <t>1. The test device shared 5 postcards within 24 hours.</t>
  </si>
  <si>
    <t>1. Try sharing a 6th postcard from the same device.
2. Observe the app error.
3. Run the SQL query.</t>
  </si>
  <si>
    <t>SELECT COUNT(*) FROM postcards WHERE device_id = '&lt;TEST_DEVICE_ID&gt;' AND created_at &gt;= now() - interval '24 hours';</t>
  </si>
  <si>
    <t>The count remains 5; the 6th share was rejected and no new row exists.</t>
  </si>
  <si>
    <t>TD_DB_18</t>
  </si>
  <si>
    <t>TC_DBB_01</t>
  </si>
  <si>
    <t>Verify a submitted bug report is saved in the database</t>
  </si>
  <si>
    <t>1. Click the "Got a Bug?" floating button on /home.
2. Enter the description "DB bug report test".
3. Submit.
4. Run the SQL query.</t>
  </si>
  <si>
    <t>SELECT * FROM bug_reports WHERE text = 'DB bug report test' ORDER BY created_at DESC LIMIT 1;</t>
  </si>
  <si>
    <t>One row exists with type = bug, the reporter name and the description text.</t>
  </si>
  <si>
    <t>TD_DB_19</t>
  </si>
  <si>
    <t>TC_DBB_02</t>
  </si>
  <si>
    <t>Verify a submitted idea is saved with type suggestion</t>
  </si>
  <si>
    <t>1. Click the "Have an Idea?" floating button on /home.
2. Enter the description "DB idea test".
3. Submit.
4. Run the SQL query.</t>
  </si>
  <si>
    <t>SELECT type, text FROM bug_reports WHERE text = 'DB idea test';</t>
  </si>
  <si>
    <t>One row exists with type = suggestion (not bug).</t>
  </si>
  <si>
    <t>TD_DB_20</t>
  </si>
  <si>
    <t>TC_DBB_03</t>
  </si>
  <si>
    <t>Verify a bug report with screenshot stores the image URL</t>
  </si>
  <si>
    <t>1. A small PNG file is ready for upload.</t>
  </si>
  <si>
    <t>1. Submit a bug report with the screenshot attached.
2. Run the SQL query.</t>
  </si>
  <si>
    <t>SELECT image_url FROM bug_reports WHERE text = 'DB bug report test' ORDER BY created_at DESC LIMIT 1;</t>
  </si>
  <si>
    <t>The image_url column contains the storage URL of the uploaded screenshot.</t>
  </si>
  <si>
    <t>TD_DB_19, TD_DB_21</t>
  </si>
  <si>
    <t>TC_DBB_04</t>
  </si>
  <si>
    <t>Verify an admin-deleted report is removed from the database</t>
  </si>
  <si>
    <t>1. A test report exists.
2. Admin can log in.</t>
  </si>
  <si>
    <t>1. In /admin -&gt; Feedback, delete the test report.
2. Run the SQL query.</t>
  </si>
  <si>
    <t>SELECT COUNT(*) FROM bug_reports WHERE text = 'DB bug report test';</t>
  </si>
  <si>
    <t>TC_DBI_01</t>
  </si>
  <si>
    <t>Verify posting with a new name locks the identity in the database</t>
  </si>
  <si>
    <t>1. VentSpace app is running at http://localhost:5173.
2. Supabase Dashboard (SQL Editor or Table Editor) is open.
3. The device has no locked name yet.</t>
  </si>
  <si>
    <t>1. Create a post with the name DBIdentityTester.
2. Run the SQL query.</t>
  </si>
  <si>
    <t>SELECT * FROM device_identities WHERE username = 'DBIdentityTester';</t>
  </si>
  <si>
    <t>One row exists with the device's uuid and the username DBIdentityTester.</t>
  </si>
  <si>
    <t>TD_DB_22</t>
  </si>
  <si>
    <t>TC_DBI_02</t>
  </si>
  <si>
    <t>Verify the locked name is reused for the next post (single row)</t>
  </si>
  <si>
    <t>1. The identity row exists (TC_DBI_01).</t>
  </si>
  <si>
    <t>1. Create a second post from the same device.
2. Run the SQL query.</t>
  </si>
  <si>
    <t>SELECT COUNT(*) FROM device_identities WHERE device_id = '&lt;TEST_DEVICE_ID&gt;';</t>
  </si>
  <si>
    <t>The count returns 1 — the same row is reused, no duplicate created.</t>
  </si>
  <si>
    <t>TC_DBI_03</t>
  </si>
  <si>
    <t>Verify an admin name-unlock deletes the identity row</t>
  </si>
  <si>
    <t>1. The identity row exists.
2. Admin can log in.</t>
  </si>
  <si>
    <t>1. In /admin, run Reset All Hours (or RESET user).
2. Run the SQL query.</t>
  </si>
  <si>
    <t>SELECT COUNT(*) FROM device_identities WHERE username = 'DBIdentityTester';</t>
  </si>
  <si>
    <t>The count returns 0 — the lock was cleared and the device can pick a new name.</t>
  </si>
  <si>
    <t>TC_DBS_01</t>
  </si>
  <si>
    <t>Verify changing the auto-delete hours is saved in the database</t>
  </si>
  <si>
    <t>1. Admin can log in.</t>
  </si>
  <si>
    <t>1. Log into /admin -&gt; Settings.
2. Change the Auto-Delete Timer to 24 hours.
3. Run the SQL query.</t>
  </si>
  <si>
    <t>SELECT value FROM settings WHERE key = 'auto_delete_hours';</t>
  </si>
  <si>
    <t>The value is stored as 24 (jsonb) and survives a page refresh.</t>
  </si>
  <si>
    <t>TD_DB_23</t>
  </si>
  <si>
    <t>TC_DBS_02</t>
  </si>
  <si>
    <t>Verify the blacklisted words list is saved in the database</t>
  </si>
  <si>
    <t>1. In /admin -&gt; Settings, add the word dbtestban to Blacklisted Words.
2. Run the SQL query.</t>
  </si>
  <si>
    <t>SELECT value FROM settings WHERE key = 'blacklisted_words';</t>
  </si>
  <si>
    <t>The jsonb array contains dbtestban alongside the existing words.</t>
  </si>
  <si>
    <t>TD_DB_25</t>
  </si>
  <si>
    <t>TC_DBS_03</t>
  </si>
  <si>
    <t>Verify removing a blacklisted word updates the database row</t>
  </si>
  <si>
    <t>1. The word dbtestban exists in the list (TC_DBS_02).</t>
  </si>
  <si>
    <t>1. Remove the word in /admin -&gt; Settings.
2. Run the SQL query.</t>
  </si>
  <si>
    <t>The jsonb array no longer contains dbtestban.</t>
  </si>
  <si>
    <t>TC_DBS_04</t>
  </si>
  <si>
    <t>Verify an invalid settings value is rejected and not saved</t>
  </si>
  <si>
    <t>1. Admin is logged in.</t>
  </si>
  <si>
    <t>1. Via API, try to set auto_delete_hours to 200 (allowed 1-168).
2. Observe the rejection.
3. Run the SQL query.</t>
  </si>
  <si>
    <t>The value remains the last valid number; 200 was never written.</t>
  </si>
  <si>
    <t>TD_DB_23, TD_DB_24</t>
  </si>
  <si>
    <t>TD ID</t>
  </si>
  <si>
    <t>Field</t>
  </si>
  <si>
    <t>Valid/Invalid</t>
  </si>
  <si>
    <t>Used In TC</t>
  </si>
  <si>
    <t>Post Text</t>
  </si>
  <si>
    <t>My first DB test post</t>
  </si>
  <si>
    <t>Valid</t>
  </si>
  <si>
    <t>TC_DBP_01, TC_DBP_02, TC_DBP_05, TC_DBP_06, TC_DBP_07</t>
  </si>
  <si>
    <t>TD_DB_02</t>
  </si>
  <si>
    <t>Post Username</t>
  </si>
  <si>
    <t>DBTester</t>
  </si>
  <si>
    <t>TC_DBP_01, TC_DBP_02</t>
  </si>
  <si>
    <t>TD_DB_03</t>
  </si>
  <si>
    <t>Post Mood</t>
  </si>
  <si>
    <t>Happy</t>
  </si>
  <si>
    <t>Reaction</t>
  </si>
  <si>
    <t>Heart emoji</t>
  </si>
  <si>
    <t>Post Rate</t>
  </si>
  <si>
    <t>5 posts already created in 5 hours</t>
  </si>
  <si>
    <t>Invalid</t>
  </si>
  <si>
    <t>Blacklisted Word</t>
  </si>
  <si>
    <t>testban</t>
  </si>
  <si>
    <t>TC_DBP_09, TC_DBS_02</t>
  </si>
  <si>
    <t>Comment Text</t>
  </si>
  <si>
    <t>My first DB comment</t>
  </si>
  <si>
    <t>TC_DBPCM_01, TC_DBPCM_03, TC_DBPCM_04</t>
  </si>
  <si>
    <t>Reply Text</t>
  </si>
  <si>
    <t>Nested reply test</t>
  </si>
  <si>
    <t>Foreign Comment</t>
  </si>
  <si>
    <t>Comment owned by another device</t>
  </si>
  <si>
    <t>Reported Post</t>
  </si>
  <si>
    <t>The TC_DBP_01 test post flagged</t>
  </si>
  <si>
    <t>TC_DBR_01, TC_DBR_02, TC_DBR_03, TC_DBR_04, TC_DBP_10</t>
  </si>
  <si>
    <t>TD_DB_11</t>
  </si>
  <si>
    <t>Map Note Name</t>
  </si>
  <si>
    <t>DBMapTester</t>
  </si>
  <si>
    <t>TC_DBM_01, TC_DBM_02</t>
  </si>
  <si>
    <t>Map Note Message</t>
  </si>
  <si>
    <t>DB map note test</t>
  </si>
  <si>
    <t>TC_DBM_01, TC_DBM_02, TC_DBM_04, TC_DBM_05</t>
  </si>
  <si>
    <t>TD_DB_13</t>
  </si>
  <si>
    <t>Map Coordinates</t>
  </si>
  <si>
    <t>Manila (lat 14.5995, lng 120.9842)</t>
  </si>
  <si>
    <t>Out-of-Bounds Coords</t>
  </si>
  <si>
    <t>Outside PH (e.g. lat 35.0, lng 140.0)</t>
  </si>
  <si>
    <t>TD_DB_15</t>
  </si>
  <si>
    <t>Postcard To / From</t>
  </si>
  <si>
    <t>DB To / DB From</t>
  </si>
  <si>
    <t>TC_DBPC_01, TC_DBPC_02, TC_DBPC_03</t>
  </si>
  <si>
    <t>Postcard Message</t>
  </si>
  <si>
    <t>DB postcard message</t>
  </si>
  <si>
    <t>TD_DB_17</t>
  </si>
  <si>
    <t>Postcard Stickers</t>
  </si>
  <si>
    <t>2 stickers with positions (e.g. x 25 y 40, x 75 y 60)</t>
  </si>
  <si>
    <t>Share Rate</t>
  </si>
  <si>
    <t>5 postcards shared in 24 hours</t>
  </si>
  <si>
    <t>Bug Description</t>
  </si>
  <si>
    <t>DB bug report test</t>
  </si>
  <si>
    <t>TC_DBB_01, TC_DBB_03, TC_DBB_04</t>
  </si>
  <si>
    <t>Idea Description</t>
  </si>
  <si>
    <t>DB idea test</t>
  </si>
  <si>
    <t>TD_DB_21</t>
  </si>
  <si>
    <t>Screenshot</t>
  </si>
  <si>
    <t>Small PNG file (under 2 MB)</t>
  </si>
  <si>
    <t>Identity Name</t>
  </si>
  <si>
    <t>DBIdentityTester</t>
  </si>
  <si>
    <t>TC_DBI_01, TC_DBI_02, TC_DBI_03</t>
  </si>
  <si>
    <t>Setting Key/Value</t>
  </si>
  <si>
    <t>auto_delete_hours = 24</t>
  </si>
  <si>
    <t>TC_DBS_01, TC_DBS_04</t>
  </si>
  <si>
    <t>TD_DB_24</t>
  </si>
  <si>
    <t>auto_delete_hours = 200</t>
  </si>
  <si>
    <t>Setting Word</t>
  </si>
  <si>
    <t>dbtestban</t>
  </si>
  <si>
    <t>TC_DBS_02, TC_DBS_03</t>
  </si>
  <si>
    <t>Failed</t>
  </si>
  <si>
    <t>Blocked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</si>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</sst>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pane ySplit="1" topLeftCell="A2" activePane="bottomLeft" state="frozen"/>
      <selection pane="bottomLeft" activeCell="H22" sqref="H22"/>
    </sheetView>
  </sheetViews>
  <sheetFormatPr defaultRowHeight="15" x14ac:dyDescent="0.25"/>
  <cols>
    <col min="1" max="1" width="24" customWidth="1"/>
    <col min="2" max="2" width="10" customWidth="1"/>
    <col min="3" max="4" width="8" customWidth="1"/>
    <col min="5" max="5" width="11" customWidth="1"/>
    <col min="6" max="6" width="14" customWidth="1"/>
  </cols>
  <sheetData>
    <row r="1" spans="1:6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</v>
      </c>
    </row>
    <row r="2" spans="1:6" x14ac:dyDescent="0.25">
      <c r="A2" s="2" t="s">
        <v>79</v>
      </c>
      <c r="B2" s="2">
        <f>COUNTA('DB Posts'!A2:A100)</f>
        <v>10</v>
      </c>
      <c r="C2" s="2">
        <f>COUNTIF('DB Posts'!H2:H100,"Passed")</f>
        <v>10</v>
      </c>
      <c r="D2" s="2">
        <f>COUNTIF('DB Posts'!H2:H100,"Failed")</f>
        <v>0</v>
      </c>
      <c r="E2" s="2" t="str">
        <f t="shared" ref="E2:E9" si="0">IF(B2=0,"0%",TEXT((C2+D2)/B2,"0%"))</f>
        <v>100%</v>
      </c>
      <c r="F2" s="2" t="str">
        <f t="shared" ref="F2:F10" si="1">IF(D2&gt;0,"Blocked",IF(C2&gt;=B2,"Complete","In Progress"))</f>
        <v>Complete</v>
      </c>
    </row>
    <row r="3" spans="1:6" x14ac:dyDescent="0.25">
      <c r="A3" s="2" t="s">
        <v>80</v>
      </c>
      <c r="B3" s="2">
        <f>COUNTA('DB Comments'!A2:A100)</f>
        <v>5</v>
      </c>
      <c r="C3" s="2">
        <f>COUNTIF('DB Comments'!H2:H100,"Passed")</f>
        <v>5</v>
      </c>
      <c r="D3" s="2">
        <f>COUNTIF('DB Comments'!H2:H100,"Failed")</f>
        <v>0</v>
      </c>
      <c r="E3" s="2" t="str">
        <f t="shared" si="0"/>
        <v>100%</v>
      </c>
      <c r="F3" s="2" t="str">
        <f t="shared" si="1"/>
        <v>Complete</v>
      </c>
    </row>
    <row r="4" spans="1:6" x14ac:dyDescent="0.25">
      <c r="A4" s="2" t="s">
        <v>81</v>
      </c>
      <c r="B4" s="2">
        <f>COUNTA('DB Reported Posts'!A2:A100)</f>
        <v>4</v>
      </c>
      <c r="C4" s="2">
        <f>COUNTIF('DB Reported Posts'!H2:H100,"Passed")</f>
        <v>0</v>
      </c>
      <c r="D4" s="2">
        <f>COUNTIF('DB Reported Posts'!H2:H100,"Failed")</f>
        <v>0</v>
      </c>
      <c r="E4" s="2" t="str">
        <f t="shared" si="0"/>
        <v>0%</v>
      </c>
      <c r="F4" s="2" t="str">
        <f t="shared" si="1"/>
        <v>In Progress</v>
      </c>
    </row>
    <row r="5" spans="1:6" x14ac:dyDescent="0.25">
      <c r="A5" s="2" t="s">
        <v>82</v>
      </c>
      <c r="B5" s="2">
        <f>COUNTA('DB Map Notes'!A2:A100)</f>
        <v>5</v>
      </c>
      <c r="C5" s="2">
        <f>COUNTIF('DB Map Notes'!H2:H100,"Passed")</f>
        <v>0</v>
      </c>
      <c r="D5" s="2">
        <f>COUNTIF('DB Map Notes'!H2:H100,"Failed")</f>
        <v>0</v>
      </c>
      <c r="E5" s="2" t="str">
        <f t="shared" si="0"/>
        <v>0%</v>
      </c>
      <c r="F5" s="2" t="str">
        <f t="shared" si="1"/>
        <v>In Progress</v>
      </c>
    </row>
    <row r="6" spans="1:6" x14ac:dyDescent="0.25">
      <c r="A6" s="2" t="s">
        <v>83</v>
      </c>
      <c r="B6" s="2">
        <f>COUNTA('DB Postcards'!A2:A100)</f>
        <v>4</v>
      </c>
      <c r="C6" s="2">
        <f>COUNTIF('DB Postcards'!H2:H100,"Passed")</f>
        <v>0</v>
      </c>
      <c r="D6" s="2">
        <f>COUNTIF('DB Postcards'!H2:H100,"Failed")</f>
        <v>0</v>
      </c>
      <c r="E6" s="2" t="str">
        <f t="shared" si="0"/>
        <v>0%</v>
      </c>
      <c r="F6" s="2" t="str">
        <f t="shared" si="1"/>
        <v>In Progress</v>
      </c>
    </row>
    <row r="7" spans="1:6" x14ac:dyDescent="0.25">
      <c r="A7" s="2" t="s">
        <v>84</v>
      </c>
      <c r="B7" s="2">
        <f>COUNTA('DB Bug Reports'!A2:A100)</f>
        <v>4</v>
      </c>
      <c r="C7" s="2">
        <f>COUNTIF('DB Bug Reports'!H2:H100,"Passed")</f>
        <v>0</v>
      </c>
      <c r="D7" s="2">
        <f>COUNTIF('DB Bug Reports'!H2:H100,"Failed")</f>
        <v>0</v>
      </c>
      <c r="E7" s="2" t="str">
        <f t="shared" si="0"/>
        <v>0%</v>
      </c>
      <c r="F7" s="2" t="str">
        <f t="shared" si="1"/>
        <v>In Progress</v>
      </c>
    </row>
    <row r="8" spans="1:6" x14ac:dyDescent="0.25">
      <c r="A8" s="2" t="s">
        <v>85</v>
      </c>
      <c r="B8" s="2">
        <f>COUNTA('DB Device Identities'!A2:A100)</f>
        <v>3</v>
      </c>
      <c r="C8" s="2">
        <f>COUNTIF('DB Device Identities'!H2:H100,"Passed")</f>
        <v>0</v>
      </c>
      <c r="D8" s="2">
        <f>COUNTIF('DB Device Identities'!H2:H100,"Failed")</f>
        <v>0</v>
      </c>
      <c r="E8" s="2" t="str">
        <f t="shared" si="0"/>
        <v>0%</v>
      </c>
      <c r="F8" s="2" t="str">
        <f t="shared" si="1"/>
        <v>In Progress</v>
      </c>
    </row>
    <row r="9" spans="1:6" x14ac:dyDescent="0.25">
      <c r="A9" s="2" t="s">
        <v>86</v>
      </c>
      <c r="B9" s="2">
        <f>COUNTA('DB Settings'!A2:A100)</f>
        <v>4</v>
      </c>
      <c r="C9" s="2">
        <f>COUNTIF('DB Settings'!H2:H100,"Passed")</f>
        <v>0</v>
      </c>
      <c r="D9" s="2">
        <f>COUNTIF('DB Settings'!H2:H100,"Failed")</f>
        <v>0</v>
      </c>
      <c r="E9" s="2" t="str">
        <f t="shared" si="0"/>
        <v>0%</v>
      </c>
      <c r="F9" s="2" t="str">
        <f t="shared" si="1"/>
        <v>In Progress</v>
      </c>
    </row>
    <row r="10" spans="1:6" x14ac:dyDescent="0.25">
      <c r="A10" s="3" t="s">
        <v>87</v>
      </c>
      <c r="B10" s="3">
        <f>SUM(B2:B9)</f>
        <v>39</v>
      </c>
      <c r="C10" s="3">
        <f>SUM(C2:C9)</f>
        <v>15</v>
      </c>
      <c r="D10" s="3">
        <f>SUM(D2:D9)</f>
        <v>0</v>
      </c>
      <c r="E10" s="3" t="str">
        <f>TEXT((C10+D10)/B10,"0%")</f>
        <v>38%</v>
      </c>
      <c r="F10" s="3" t="str">
        <f t="shared" si="1"/>
        <v>In Progress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zoomScale="85" zoomScaleNormal="85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105" customHeigh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7" t="s">
        <v>17</v>
      </c>
    </row>
    <row r="3" spans="1:9" ht="60" customHeight="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15</v>
      </c>
      <c r="H3" s="5" t="s">
        <v>16</v>
      </c>
      <c r="I3" s="7" t="s">
        <v>17</v>
      </c>
    </row>
    <row r="4" spans="1:9" ht="60" customHeight="1" x14ac:dyDescent="0.25">
      <c r="A4" s="4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15</v>
      </c>
      <c r="H4" s="5" t="s">
        <v>16</v>
      </c>
      <c r="I4" s="7" t="s">
        <v>30</v>
      </c>
    </row>
    <row r="5" spans="1:9" ht="60" customHeight="1" x14ac:dyDescent="0.25">
      <c r="A5" s="4" t="s">
        <v>31</v>
      </c>
      <c r="B5" s="5" t="s">
        <v>32</v>
      </c>
      <c r="C5" s="5" t="s">
        <v>26</v>
      </c>
      <c r="D5" s="5" t="s">
        <v>33</v>
      </c>
      <c r="E5" s="5" t="s">
        <v>28</v>
      </c>
      <c r="F5" s="5" t="s">
        <v>34</v>
      </c>
      <c r="G5" s="5" t="s">
        <v>15</v>
      </c>
      <c r="H5" s="5" t="s">
        <v>16</v>
      </c>
      <c r="I5" s="7" t="s">
        <v>35</v>
      </c>
    </row>
    <row r="6" spans="1:9" ht="45" customHeight="1" x14ac:dyDescent="0.25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15</v>
      </c>
      <c r="H6" s="5" t="s">
        <v>16</v>
      </c>
      <c r="I6" s="7" t="s">
        <v>30</v>
      </c>
    </row>
    <row r="7" spans="1:9" ht="59.25" customHeight="1" x14ac:dyDescent="0.25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15</v>
      </c>
      <c r="H7" s="5" t="s">
        <v>16</v>
      </c>
      <c r="I7" s="7" t="s">
        <v>30</v>
      </c>
    </row>
    <row r="8" spans="1:9" ht="60" customHeight="1" x14ac:dyDescent="0.25">
      <c r="A8" s="4" t="s">
        <v>48</v>
      </c>
      <c r="B8" s="5" t="s">
        <v>49</v>
      </c>
      <c r="C8" s="5" t="s">
        <v>44</v>
      </c>
      <c r="D8" s="5" t="s">
        <v>50</v>
      </c>
      <c r="E8" s="5" t="s">
        <v>51</v>
      </c>
      <c r="F8" s="5" t="s">
        <v>52</v>
      </c>
      <c r="G8" s="5" t="s">
        <v>15</v>
      </c>
      <c r="H8" s="5" t="s">
        <v>16</v>
      </c>
      <c r="I8" s="7" t="s">
        <v>30</v>
      </c>
    </row>
    <row r="9" spans="1:9" ht="60" customHeight="1" x14ac:dyDescent="0.25">
      <c r="A9" s="4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5" t="s">
        <v>15</v>
      </c>
      <c r="H9" s="5" t="s">
        <v>16</v>
      </c>
      <c r="I9" s="7" t="s">
        <v>59</v>
      </c>
    </row>
    <row r="10" spans="1:9" ht="60" customHeight="1" x14ac:dyDescent="0.25">
      <c r="A10" s="4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15</v>
      </c>
      <c r="H10" s="5" t="s">
        <v>16</v>
      </c>
      <c r="I10" s="7" t="s">
        <v>66</v>
      </c>
    </row>
    <row r="11" spans="1:9" ht="90" customHeight="1" x14ac:dyDescent="0.25">
      <c r="A11" s="4" t="s">
        <v>67</v>
      </c>
      <c r="B11" s="5" t="s">
        <v>68</v>
      </c>
      <c r="C11" s="5" t="s">
        <v>69</v>
      </c>
      <c r="D11" s="5" t="s">
        <v>70</v>
      </c>
      <c r="E11" s="5" t="s">
        <v>71</v>
      </c>
      <c r="F11" s="5" t="s">
        <v>72</v>
      </c>
      <c r="G11" s="5" t="s">
        <v>15</v>
      </c>
      <c r="H11" s="5" t="s">
        <v>16</v>
      </c>
      <c r="I11" s="7" t="s">
        <v>73</v>
      </c>
    </row>
  </sheetData>
  <autoFilter ref="A1:I1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1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zoomScale="85" zoomScaleNormal="85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90" customHeight="1" x14ac:dyDescent="0.25">
      <c r="A2" s="4" t="s">
        <v>88</v>
      </c>
      <c r="B2" s="5" t="s">
        <v>89</v>
      </c>
      <c r="C2" s="5" t="s">
        <v>90</v>
      </c>
      <c r="D2" s="5" t="s">
        <v>91</v>
      </c>
      <c r="E2" s="5" t="s">
        <v>92</v>
      </c>
      <c r="F2" s="5" t="s">
        <v>93</v>
      </c>
      <c r="G2" s="5" t="s">
        <v>15</v>
      </c>
      <c r="H2" s="5" t="s">
        <v>16</v>
      </c>
      <c r="I2" s="7" t="s">
        <v>94</v>
      </c>
    </row>
    <row r="3" spans="1:9" ht="45" customHeight="1" x14ac:dyDescent="0.25">
      <c r="A3" s="4" t="s">
        <v>95</v>
      </c>
      <c r="B3" s="5" t="s">
        <v>96</v>
      </c>
      <c r="C3" s="5" t="s">
        <v>97</v>
      </c>
      <c r="D3" s="5" t="s">
        <v>98</v>
      </c>
      <c r="E3" s="5" t="s">
        <v>99</v>
      </c>
      <c r="F3" s="5" t="s">
        <v>100</v>
      </c>
      <c r="G3" s="5" t="s">
        <v>15</v>
      </c>
      <c r="H3" s="5" t="s">
        <v>16</v>
      </c>
      <c r="I3" s="7" t="s">
        <v>101</v>
      </c>
    </row>
    <row r="4" spans="1:9" ht="45" customHeight="1" x14ac:dyDescent="0.25">
      <c r="A4" s="4" t="s">
        <v>102</v>
      </c>
      <c r="B4" s="5" t="s">
        <v>103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15</v>
      </c>
      <c r="H4" s="5" t="s">
        <v>16</v>
      </c>
      <c r="I4" s="7" t="s">
        <v>94</v>
      </c>
    </row>
    <row r="5" spans="1:9" ht="45" customHeight="1" x14ac:dyDescent="0.25">
      <c r="A5" s="4" t="s">
        <v>108</v>
      </c>
      <c r="B5" s="5" t="s">
        <v>109</v>
      </c>
      <c r="C5" s="5" t="s">
        <v>110</v>
      </c>
      <c r="D5" s="5" t="s">
        <v>111</v>
      </c>
      <c r="E5" s="5" t="s">
        <v>112</v>
      </c>
      <c r="F5" s="5" t="s">
        <v>113</v>
      </c>
      <c r="G5" s="5" t="s">
        <v>15</v>
      </c>
      <c r="H5" s="5" t="s">
        <v>16</v>
      </c>
      <c r="I5" s="7" t="s">
        <v>94</v>
      </c>
    </row>
    <row r="6" spans="1:9" ht="60" customHeight="1" x14ac:dyDescent="0.25">
      <c r="A6" s="4" t="s">
        <v>114</v>
      </c>
      <c r="B6" s="5" t="s">
        <v>115</v>
      </c>
      <c r="C6" s="5" t="s">
        <v>116</v>
      </c>
      <c r="D6" s="5" t="s">
        <v>117</v>
      </c>
      <c r="E6" s="5" t="s">
        <v>118</v>
      </c>
      <c r="F6" s="5" t="s">
        <v>119</v>
      </c>
      <c r="G6" s="5" t="s">
        <v>15</v>
      </c>
      <c r="H6" s="5" t="s">
        <v>16</v>
      </c>
      <c r="I6" s="7" t="s">
        <v>120</v>
      </c>
    </row>
  </sheetData>
  <autoFilter ref="A1:I6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2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tabSelected="1" zoomScale="85" zoomScaleNormal="85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90" customHeight="1" x14ac:dyDescent="0.25">
      <c r="A2" s="4" t="s">
        <v>121</v>
      </c>
      <c r="B2" s="5" t="s">
        <v>122</v>
      </c>
      <c r="C2" s="5" t="s">
        <v>90</v>
      </c>
      <c r="D2" s="5" t="s">
        <v>123</v>
      </c>
      <c r="E2" s="5" t="s">
        <v>124</v>
      </c>
      <c r="F2" s="5" t="s">
        <v>125</v>
      </c>
      <c r="G2" s="5"/>
      <c r="H2" s="5"/>
      <c r="I2" s="7" t="s">
        <v>73</v>
      </c>
    </row>
    <row r="3" spans="1:9" ht="45" customHeight="1" x14ac:dyDescent="0.25">
      <c r="A3" s="4" t="s">
        <v>126</v>
      </c>
      <c r="B3" s="5" t="s">
        <v>127</v>
      </c>
      <c r="C3" s="5" t="s">
        <v>128</v>
      </c>
      <c r="D3" s="5" t="s">
        <v>129</v>
      </c>
      <c r="E3" s="5" t="s">
        <v>130</v>
      </c>
      <c r="F3" s="5" t="s">
        <v>131</v>
      </c>
      <c r="G3" s="5"/>
      <c r="H3" s="5"/>
      <c r="I3" s="7" t="s">
        <v>73</v>
      </c>
    </row>
    <row r="4" spans="1:9" ht="30" customHeight="1" x14ac:dyDescent="0.25">
      <c r="A4" s="4" t="s">
        <v>132</v>
      </c>
      <c r="B4" s="5" t="s">
        <v>133</v>
      </c>
      <c r="C4" s="5" t="s">
        <v>128</v>
      </c>
      <c r="D4" s="5" t="s">
        <v>134</v>
      </c>
      <c r="E4" s="5" t="s">
        <v>71</v>
      </c>
      <c r="F4" s="5" t="s">
        <v>135</v>
      </c>
      <c r="G4" s="5"/>
      <c r="H4" s="5"/>
      <c r="I4" s="7" t="s">
        <v>73</v>
      </c>
    </row>
    <row r="5" spans="1:9" ht="45" customHeight="1" x14ac:dyDescent="0.25">
      <c r="A5" s="4" t="s">
        <v>136</v>
      </c>
      <c r="B5" s="5" t="s">
        <v>137</v>
      </c>
      <c r="C5" s="5" t="s">
        <v>138</v>
      </c>
      <c r="D5" s="5" t="s">
        <v>139</v>
      </c>
      <c r="E5" s="5" t="s">
        <v>140</v>
      </c>
      <c r="F5" s="5" t="s">
        <v>141</v>
      </c>
      <c r="G5" s="5"/>
      <c r="H5" s="5"/>
      <c r="I5" s="7" t="s">
        <v>73</v>
      </c>
    </row>
  </sheetData>
  <autoFilter ref="A1:I5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3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90" customHeight="1" x14ac:dyDescent="0.25">
      <c r="A2" s="4" t="s">
        <v>142</v>
      </c>
      <c r="B2" s="5" t="s">
        <v>143</v>
      </c>
      <c r="C2" s="5" t="s">
        <v>144</v>
      </c>
      <c r="D2" s="5" t="s">
        <v>145</v>
      </c>
      <c r="E2" s="5" t="s">
        <v>146</v>
      </c>
      <c r="F2" s="5" t="s">
        <v>147</v>
      </c>
      <c r="G2" s="5"/>
      <c r="H2" s="5"/>
      <c r="I2" s="7" t="s">
        <v>148</v>
      </c>
    </row>
    <row r="3" spans="1:9" ht="45" customHeight="1" x14ac:dyDescent="0.25">
      <c r="A3" s="4" t="s">
        <v>149</v>
      </c>
      <c r="B3" s="5" t="s">
        <v>150</v>
      </c>
      <c r="C3" s="5" t="s">
        <v>151</v>
      </c>
      <c r="D3" s="5" t="s">
        <v>152</v>
      </c>
      <c r="E3" s="5" t="s">
        <v>153</v>
      </c>
      <c r="F3" s="5" t="s">
        <v>154</v>
      </c>
      <c r="G3" s="5"/>
      <c r="H3" s="5"/>
      <c r="I3" s="7" t="s">
        <v>155</v>
      </c>
    </row>
    <row r="4" spans="1:9" ht="45" customHeight="1" x14ac:dyDescent="0.25">
      <c r="A4" s="4" t="s">
        <v>156</v>
      </c>
      <c r="B4" s="5" t="s">
        <v>157</v>
      </c>
      <c r="C4" s="5" t="s">
        <v>158</v>
      </c>
      <c r="D4" s="5" t="s">
        <v>159</v>
      </c>
      <c r="E4" s="5" t="s">
        <v>160</v>
      </c>
      <c r="F4" s="5" t="s">
        <v>161</v>
      </c>
      <c r="G4" s="5"/>
      <c r="H4" s="5"/>
      <c r="I4" s="7" t="s">
        <v>162</v>
      </c>
    </row>
    <row r="5" spans="1:9" ht="45" customHeight="1" x14ac:dyDescent="0.25">
      <c r="A5" s="4" t="s">
        <v>163</v>
      </c>
      <c r="B5" s="5" t="s">
        <v>164</v>
      </c>
      <c r="C5" s="5" t="s">
        <v>165</v>
      </c>
      <c r="D5" s="5" t="s">
        <v>166</v>
      </c>
      <c r="E5" s="5" t="s">
        <v>167</v>
      </c>
      <c r="F5" s="5" t="s">
        <v>168</v>
      </c>
      <c r="G5" s="5"/>
      <c r="H5" s="5"/>
      <c r="I5" s="7" t="s">
        <v>155</v>
      </c>
    </row>
    <row r="6" spans="1:9" ht="45" customHeight="1" x14ac:dyDescent="0.25">
      <c r="A6" s="4" t="s">
        <v>169</v>
      </c>
      <c r="B6" s="5" t="s">
        <v>170</v>
      </c>
      <c r="C6" s="5" t="s">
        <v>171</v>
      </c>
      <c r="D6" s="5" t="s">
        <v>172</v>
      </c>
      <c r="E6" s="5" t="s">
        <v>173</v>
      </c>
      <c r="F6" s="5" t="s">
        <v>174</v>
      </c>
      <c r="G6" s="5"/>
      <c r="H6" s="5"/>
      <c r="I6" s="7" t="s">
        <v>155</v>
      </c>
    </row>
  </sheetData>
  <autoFilter ref="A1:I6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4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75" customHeight="1" x14ac:dyDescent="0.25">
      <c r="A2" s="4" t="s">
        <v>175</v>
      </c>
      <c r="B2" s="5" t="s">
        <v>176</v>
      </c>
      <c r="C2" s="5" t="s">
        <v>177</v>
      </c>
      <c r="D2" s="5" t="s">
        <v>178</v>
      </c>
      <c r="E2" s="5" t="s">
        <v>179</v>
      </c>
      <c r="F2" s="5" t="s">
        <v>180</v>
      </c>
      <c r="G2" s="5"/>
      <c r="H2" s="5"/>
      <c r="I2" s="7" t="s">
        <v>181</v>
      </c>
    </row>
    <row r="3" spans="1:9" ht="45" customHeight="1" x14ac:dyDescent="0.25">
      <c r="A3" s="4" t="s">
        <v>182</v>
      </c>
      <c r="B3" s="5" t="s">
        <v>183</v>
      </c>
      <c r="C3" s="5" t="s">
        <v>184</v>
      </c>
      <c r="D3" s="5" t="s">
        <v>185</v>
      </c>
      <c r="E3" s="5" t="s">
        <v>186</v>
      </c>
      <c r="F3" s="5" t="s">
        <v>187</v>
      </c>
      <c r="G3" s="5"/>
      <c r="H3" s="5"/>
      <c r="I3" s="7" t="s">
        <v>188</v>
      </c>
    </row>
    <row r="4" spans="1:9" ht="45" customHeight="1" x14ac:dyDescent="0.25">
      <c r="A4" s="4" t="s">
        <v>189</v>
      </c>
      <c r="B4" s="5" t="s">
        <v>190</v>
      </c>
      <c r="C4" s="5" t="s">
        <v>191</v>
      </c>
      <c r="D4" s="5" t="s">
        <v>192</v>
      </c>
      <c r="E4" s="5" t="s">
        <v>193</v>
      </c>
      <c r="F4" s="5" t="s">
        <v>168</v>
      </c>
      <c r="G4" s="5"/>
      <c r="H4" s="5"/>
      <c r="I4" s="7" t="s">
        <v>194</v>
      </c>
    </row>
    <row r="5" spans="1:9" ht="60" customHeight="1" x14ac:dyDescent="0.25">
      <c r="A5" s="4" t="s">
        <v>195</v>
      </c>
      <c r="B5" s="5" t="s">
        <v>196</v>
      </c>
      <c r="C5" s="5" t="s">
        <v>197</v>
      </c>
      <c r="D5" s="5" t="s">
        <v>198</v>
      </c>
      <c r="E5" s="5" t="s">
        <v>199</v>
      </c>
      <c r="F5" s="5" t="s">
        <v>200</v>
      </c>
      <c r="G5" s="5"/>
      <c r="H5" s="5"/>
      <c r="I5" s="7" t="s">
        <v>201</v>
      </c>
    </row>
  </sheetData>
  <autoFilter ref="A1:I5" xr:uid="{00000000-0009-0000-0000-000005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5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90" customHeight="1" x14ac:dyDescent="0.25">
      <c r="A2" s="4" t="s">
        <v>202</v>
      </c>
      <c r="B2" s="5" t="s">
        <v>203</v>
      </c>
      <c r="C2" s="5" t="s">
        <v>177</v>
      </c>
      <c r="D2" s="5" t="s">
        <v>204</v>
      </c>
      <c r="E2" s="5" t="s">
        <v>205</v>
      </c>
      <c r="F2" s="5" t="s">
        <v>206</v>
      </c>
      <c r="G2" s="5"/>
      <c r="H2" s="5"/>
      <c r="I2" s="7" t="s">
        <v>207</v>
      </c>
    </row>
    <row r="3" spans="1:9" ht="75" customHeight="1" x14ac:dyDescent="0.25">
      <c r="A3" s="4" t="s">
        <v>208</v>
      </c>
      <c r="B3" s="5" t="s">
        <v>209</v>
      </c>
      <c r="C3" s="5" t="s">
        <v>177</v>
      </c>
      <c r="D3" s="5" t="s">
        <v>210</v>
      </c>
      <c r="E3" s="5" t="s">
        <v>211</v>
      </c>
      <c r="F3" s="5" t="s">
        <v>212</v>
      </c>
      <c r="G3" s="5"/>
      <c r="H3" s="5"/>
      <c r="I3" s="7" t="s">
        <v>213</v>
      </c>
    </row>
    <row r="4" spans="1:9" ht="45" customHeight="1" x14ac:dyDescent="0.25">
      <c r="A4" s="4" t="s">
        <v>214</v>
      </c>
      <c r="B4" s="5" t="s">
        <v>215</v>
      </c>
      <c r="C4" s="5" t="s">
        <v>216</v>
      </c>
      <c r="D4" s="5" t="s">
        <v>217</v>
      </c>
      <c r="E4" s="5" t="s">
        <v>218</v>
      </c>
      <c r="F4" s="5" t="s">
        <v>219</v>
      </c>
      <c r="G4" s="5"/>
      <c r="H4" s="5"/>
      <c r="I4" s="7" t="s">
        <v>220</v>
      </c>
    </row>
    <row r="5" spans="1:9" ht="45" customHeight="1" x14ac:dyDescent="0.25">
      <c r="A5" s="4" t="s">
        <v>221</v>
      </c>
      <c r="B5" s="5" t="s">
        <v>222</v>
      </c>
      <c r="C5" s="5" t="s">
        <v>223</v>
      </c>
      <c r="D5" s="5" t="s">
        <v>224</v>
      </c>
      <c r="E5" s="5" t="s">
        <v>225</v>
      </c>
      <c r="F5" s="5" t="s">
        <v>168</v>
      </c>
      <c r="G5" s="5"/>
      <c r="H5" s="5"/>
      <c r="I5" s="7" t="s">
        <v>207</v>
      </c>
    </row>
  </sheetData>
  <autoFilter ref="A1:I5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6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zoomScale="85" zoomScaleNormal="85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90" customHeight="1" x14ac:dyDescent="0.25">
      <c r="A2" s="4" t="s">
        <v>226</v>
      </c>
      <c r="B2" s="5" t="s">
        <v>227</v>
      </c>
      <c r="C2" s="5" t="s">
        <v>228</v>
      </c>
      <c r="D2" s="5" t="s">
        <v>229</v>
      </c>
      <c r="E2" s="5" t="s">
        <v>230</v>
      </c>
      <c r="F2" s="5" t="s">
        <v>231</v>
      </c>
      <c r="G2" s="5"/>
      <c r="H2" s="5"/>
      <c r="I2" s="7" t="s">
        <v>232</v>
      </c>
    </row>
    <row r="3" spans="1:9" ht="45" customHeight="1" x14ac:dyDescent="0.25">
      <c r="A3" s="4" t="s">
        <v>233</v>
      </c>
      <c r="B3" s="5" t="s">
        <v>234</v>
      </c>
      <c r="C3" s="5" t="s">
        <v>235</v>
      </c>
      <c r="D3" s="5" t="s">
        <v>236</v>
      </c>
      <c r="E3" s="5" t="s">
        <v>237</v>
      </c>
      <c r="F3" s="5" t="s">
        <v>238</v>
      </c>
      <c r="G3" s="5"/>
      <c r="H3" s="5"/>
      <c r="I3" s="7" t="s">
        <v>232</v>
      </c>
    </row>
    <row r="4" spans="1:9" ht="45" customHeight="1" x14ac:dyDescent="0.25">
      <c r="A4" s="4" t="s">
        <v>239</v>
      </c>
      <c r="B4" s="5" t="s">
        <v>240</v>
      </c>
      <c r="C4" s="5" t="s">
        <v>241</v>
      </c>
      <c r="D4" s="5" t="s">
        <v>242</v>
      </c>
      <c r="E4" s="5" t="s">
        <v>243</v>
      </c>
      <c r="F4" s="5" t="s">
        <v>244</v>
      </c>
      <c r="G4" s="5"/>
      <c r="H4" s="5"/>
      <c r="I4" s="7" t="s">
        <v>232</v>
      </c>
    </row>
  </sheetData>
  <autoFilter ref="A1:I4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7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30" customWidth="1"/>
    <col min="4" max="4" width="40" customWidth="1"/>
    <col min="5" max="5" width="52" customWidth="1"/>
    <col min="6" max="6" width="40" customWidth="1"/>
    <col min="7" max="7" width="20" customWidth="1"/>
    <col min="8" max="8" width="12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60" customHeight="1" x14ac:dyDescent="0.25">
      <c r="A2" s="4" t="s">
        <v>245</v>
      </c>
      <c r="B2" s="5" t="s">
        <v>246</v>
      </c>
      <c r="C2" s="5" t="s">
        <v>247</v>
      </c>
      <c r="D2" s="5" t="s">
        <v>248</v>
      </c>
      <c r="E2" s="5" t="s">
        <v>249</v>
      </c>
      <c r="F2" s="5" t="s">
        <v>250</v>
      </c>
      <c r="G2" s="5"/>
      <c r="H2" s="5"/>
      <c r="I2" s="7" t="s">
        <v>251</v>
      </c>
    </row>
    <row r="3" spans="1:9" ht="45" customHeight="1" x14ac:dyDescent="0.25">
      <c r="A3" s="4" t="s">
        <v>252</v>
      </c>
      <c r="B3" s="5" t="s">
        <v>253</v>
      </c>
      <c r="C3" s="5" t="s">
        <v>247</v>
      </c>
      <c r="D3" s="5" t="s">
        <v>254</v>
      </c>
      <c r="E3" s="5" t="s">
        <v>255</v>
      </c>
      <c r="F3" s="5" t="s">
        <v>256</v>
      </c>
      <c r="G3" s="5"/>
      <c r="H3" s="5"/>
      <c r="I3" s="7" t="s">
        <v>257</v>
      </c>
    </row>
    <row r="4" spans="1:9" ht="30" customHeight="1" x14ac:dyDescent="0.25">
      <c r="A4" s="4" t="s">
        <v>258</v>
      </c>
      <c r="B4" s="5" t="s">
        <v>259</v>
      </c>
      <c r="C4" s="5" t="s">
        <v>260</v>
      </c>
      <c r="D4" s="5" t="s">
        <v>261</v>
      </c>
      <c r="E4" s="5" t="s">
        <v>255</v>
      </c>
      <c r="F4" s="5" t="s">
        <v>262</v>
      </c>
      <c r="G4" s="5"/>
      <c r="H4" s="5"/>
      <c r="I4" s="7" t="s">
        <v>257</v>
      </c>
    </row>
    <row r="5" spans="1:9" ht="60" customHeight="1" x14ac:dyDescent="0.25">
      <c r="A5" s="4" t="s">
        <v>263</v>
      </c>
      <c r="B5" s="5" t="s">
        <v>264</v>
      </c>
      <c r="C5" s="5" t="s">
        <v>265</v>
      </c>
      <c r="D5" s="5" t="s">
        <v>266</v>
      </c>
      <c r="E5" s="5" t="s">
        <v>249</v>
      </c>
      <c r="F5" s="5" t="s">
        <v>267</v>
      </c>
      <c r="G5" s="5"/>
      <c r="H5" s="5"/>
      <c r="I5" s="7" t="s">
        <v>268</v>
      </c>
    </row>
  </sheetData>
  <autoFilter ref="A1:I5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tatus" error="Please pick Passed, Failed, Blocked or Not Executed." xr:uid="{00000000-0002-0000-0800-000000000000}">
          <x14:formula1>
            <xm:f>Options!$A$2:$A$5</xm:f>
          </x14:formula1>
          <xm:sqref>H2:H100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3" width="46" customWidth="1"/>
    <col min="4" max="4" width="13" customWidth="1"/>
    <col min="5" max="5" width="44" customWidth="1"/>
  </cols>
  <sheetData>
    <row r="1" spans="1:5" x14ac:dyDescent="0.25">
      <c r="A1" s="1" t="s">
        <v>269</v>
      </c>
      <c r="B1" s="1" t="s">
        <v>270</v>
      </c>
      <c r="C1" s="1" t="s">
        <v>8</v>
      </c>
      <c r="D1" s="1" t="s">
        <v>271</v>
      </c>
      <c r="E1" s="1" t="s">
        <v>272</v>
      </c>
    </row>
    <row r="2" spans="1:5" ht="30" customHeight="1" x14ac:dyDescent="0.25">
      <c r="A2" s="4" t="s">
        <v>30</v>
      </c>
      <c r="B2" s="5" t="s">
        <v>273</v>
      </c>
      <c r="C2" s="5" t="s">
        <v>274</v>
      </c>
      <c r="D2" s="5" t="s">
        <v>275</v>
      </c>
      <c r="E2" s="5" t="s">
        <v>276</v>
      </c>
    </row>
    <row r="3" spans="1:5" x14ac:dyDescent="0.25">
      <c r="A3" s="4" t="s">
        <v>277</v>
      </c>
      <c r="B3" s="5" t="s">
        <v>278</v>
      </c>
      <c r="C3" s="5" t="s">
        <v>279</v>
      </c>
      <c r="D3" s="5" t="s">
        <v>275</v>
      </c>
      <c r="E3" s="5" t="s">
        <v>280</v>
      </c>
    </row>
    <row r="4" spans="1:5" x14ac:dyDescent="0.25">
      <c r="A4" s="4" t="s">
        <v>281</v>
      </c>
      <c r="B4" s="5" t="s">
        <v>282</v>
      </c>
      <c r="C4" s="5" t="s">
        <v>283</v>
      </c>
      <c r="D4" s="5" t="s">
        <v>275</v>
      </c>
      <c r="E4" s="5" t="s">
        <v>280</v>
      </c>
    </row>
    <row r="5" spans="1:5" x14ac:dyDescent="0.25">
      <c r="A5" s="4" t="s">
        <v>35</v>
      </c>
      <c r="B5" s="5" t="s">
        <v>284</v>
      </c>
      <c r="C5" s="5" t="s">
        <v>285</v>
      </c>
      <c r="D5" s="5" t="s">
        <v>275</v>
      </c>
      <c r="E5" s="5" t="s">
        <v>31</v>
      </c>
    </row>
    <row r="6" spans="1:5" x14ac:dyDescent="0.25">
      <c r="A6" s="4" t="s">
        <v>59</v>
      </c>
      <c r="B6" s="5" t="s">
        <v>286</v>
      </c>
      <c r="C6" s="5" t="s">
        <v>287</v>
      </c>
      <c r="D6" s="5" t="s">
        <v>288</v>
      </c>
      <c r="E6" s="5" t="s">
        <v>53</v>
      </c>
    </row>
    <row r="7" spans="1:5" x14ac:dyDescent="0.25">
      <c r="A7" s="4" t="s">
        <v>66</v>
      </c>
      <c r="B7" s="5" t="s">
        <v>289</v>
      </c>
      <c r="C7" s="5" t="s">
        <v>290</v>
      </c>
      <c r="D7" s="5" t="s">
        <v>288</v>
      </c>
      <c r="E7" s="5" t="s">
        <v>291</v>
      </c>
    </row>
    <row r="8" spans="1:5" x14ac:dyDescent="0.25">
      <c r="A8" s="4" t="s">
        <v>94</v>
      </c>
      <c r="B8" s="5" t="s">
        <v>292</v>
      </c>
      <c r="C8" s="5" t="s">
        <v>293</v>
      </c>
      <c r="D8" s="5" t="s">
        <v>275</v>
      </c>
      <c r="E8" s="5" t="s">
        <v>294</v>
      </c>
    </row>
    <row r="9" spans="1:5" x14ac:dyDescent="0.25">
      <c r="A9" s="4" t="s">
        <v>101</v>
      </c>
      <c r="B9" s="5" t="s">
        <v>295</v>
      </c>
      <c r="C9" s="5" t="s">
        <v>296</v>
      </c>
      <c r="D9" s="5" t="s">
        <v>275</v>
      </c>
      <c r="E9" s="5" t="s">
        <v>95</v>
      </c>
    </row>
    <row r="10" spans="1:5" x14ac:dyDescent="0.25">
      <c r="A10" s="4" t="s">
        <v>120</v>
      </c>
      <c r="B10" s="5" t="s">
        <v>297</v>
      </c>
      <c r="C10" s="5" t="s">
        <v>298</v>
      </c>
      <c r="D10" s="5" t="s">
        <v>275</v>
      </c>
      <c r="E10" s="5" t="s">
        <v>114</v>
      </c>
    </row>
    <row r="11" spans="1:5" ht="30" customHeight="1" x14ac:dyDescent="0.25">
      <c r="A11" s="4" t="s">
        <v>73</v>
      </c>
      <c r="B11" s="5" t="s">
        <v>299</v>
      </c>
      <c r="C11" s="5" t="s">
        <v>300</v>
      </c>
      <c r="D11" s="5" t="s">
        <v>275</v>
      </c>
      <c r="E11" s="5" t="s">
        <v>301</v>
      </c>
    </row>
    <row r="12" spans="1:5" x14ac:dyDescent="0.25">
      <c r="A12" s="4" t="s">
        <v>302</v>
      </c>
      <c r="B12" s="5" t="s">
        <v>303</v>
      </c>
      <c r="C12" s="5" t="s">
        <v>304</v>
      </c>
      <c r="D12" s="5" t="s">
        <v>275</v>
      </c>
      <c r="E12" s="5" t="s">
        <v>305</v>
      </c>
    </row>
    <row r="13" spans="1:5" ht="30" customHeight="1" x14ac:dyDescent="0.25">
      <c r="A13" s="4" t="s">
        <v>155</v>
      </c>
      <c r="B13" s="5" t="s">
        <v>306</v>
      </c>
      <c r="C13" s="5" t="s">
        <v>307</v>
      </c>
      <c r="D13" s="5" t="s">
        <v>275</v>
      </c>
      <c r="E13" s="5" t="s">
        <v>308</v>
      </c>
    </row>
    <row r="14" spans="1:5" x14ac:dyDescent="0.25">
      <c r="A14" s="4" t="s">
        <v>309</v>
      </c>
      <c r="B14" s="5" t="s">
        <v>310</v>
      </c>
      <c r="C14" s="5" t="s">
        <v>311</v>
      </c>
      <c r="D14" s="5" t="s">
        <v>275</v>
      </c>
      <c r="E14" s="5" t="s">
        <v>142</v>
      </c>
    </row>
    <row r="15" spans="1:5" ht="30" customHeight="1" x14ac:dyDescent="0.25">
      <c r="A15" s="4" t="s">
        <v>162</v>
      </c>
      <c r="B15" s="5" t="s">
        <v>312</v>
      </c>
      <c r="C15" s="5" t="s">
        <v>313</v>
      </c>
      <c r="D15" s="5" t="s">
        <v>288</v>
      </c>
      <c r="E15" s="5" t="s">
        <v>156</v>
      </c>
    </row>
    <row r="16" spans="1:5" x14ac:dyDescent="0.25">
      <c r="A16" s="4" t="s">
        <v>314</v>
      </c>
      <c r="B16" s="5" t="s">
        <v>315</v>
      </c>
      <c r="C16" s="5" t="s">
        <v>316</v>
      </c>
      <c r="D16" s="5" t="s">
        <v>275</v>
      </c>
      <c r="E16" s="5" t="s">
        <v>317</v>
      </c>
    </row>
    <row r="17" spans="1:5" x14ac:dyDescent="0.25">
      <c r="A17" s="4" t="s">
        <v>194</v>
      </c>
      <c r="B17" s="5" t="s">
        <v>318</v>
      </c>
      <c r="C17" s="5" t="s">
        <v>319</v>
      </c>
      <c r="D17" s="5" t="s">
        <v>275</v>
      </c>
      <c r="E17" s="5" t="s">
        <v>317</v>
      </c>
    </row>
    <row r="18" spans="1:5" x14ac:dyDescent="0.25">
      <c r="A18" s="4" t="s">
        <v>320</v>
      </c>
      <c r="B18" s="5" t="s">
        <v>321</v>
      </c>
      <c r="C18" s="5" t="s">
        <v>322</v>
      </c>
      <c r="D18" s="5" t="s">
        <v>275</v>
      </c>
      <c r="E18" s="5" t="s">
        <v>182</v>
      </c>
    </row>
    <row r="19" spans="1:5" x14ac:dyDescent="0.25">
      <c r="A19" s="4" t="s">
        <v>201</v>
      </c>
      <c r="B19" s="5" t="s">
        <v>323</v>
      </c>
      <c r="C19" s="5" t="s">
        <v>324</v>
      </c>
      <c r="D19" s="5" t="s">
        <v>288</v>
      </c>
      <c r="E19" s="5" t="s">
        <v>195</v>
      </c>
    </row>
    <row r="20" spans="1:5" x14ac:dyDescent="0.25">
      <c r="A20" s="4" t="s">
        <v>207</v>
      </c>
      <c r="B20" s="5" t="s">
        <v>325</v>
      </c>
      <c r="C20" s="5" t="s">
        <v>326</v>
      </c>
      <c r="D20" s="5" t="s">
        <v>275</v>
      </c>
      <c r="E20" s="5" t="s">
        <v>327</v>
      </c>
    </row>
    <row r="21" spans="1:5" x14ac:dyDescent="0.25">
      <c r="A21" s="4" t="s">
        <v>213</v>
      </c>
      <c r="B21" s="5" t="s">
        <v>328</v>
      </c>
      <c r="C21" s="5" t="s">
        <v>329</v>
      </c>
      <c r="D21" s="5" t="s">
        <v>275</v>
      </c>
      <c r="E21" s="5" t="s">
        <v>208</v>
      </c>
    </row>
    <row r="22" spans="1:5" x14ac:dyDescent="0.25">
      <c r="A22" s="4" t="s">
        <v>330</v>
      </c>
      <c r="B22" s="5" t="s">
        <v>331</v>
      </c>
      <c r="C22" s="5" t="s">
        <v>332</v>
      </c>
      <c r="D22" s="5" t="s">
        <v>275</v>
      </c>
      <c r="E22" s="5" t="s">
        <v>214</v>
      </c>
    </row>
    <row r="23" spans="1:5" x14ac:dyDescent="0.25">
      <c r="A23" s="4" t="s">
        <v>232</v>
      </c>
      <c r="B23" s="5" t="s">
        <v>333</v>
      </c>
      <c r="C23" s="5" t="s">
        <v>334</v>
      </c>
      <c r="D23" s="5" t="s">
        <v>275</v>
      </c>
      <c r="E23" s="5" t="s">
        <v>335</v>
      </c>
    </row>
    <row r="24" spans="1:5" x14ac:dyDescent="0.25">
      <c r="A24" s="4" t="s">
        <v>251</v>
      </c>
      <c r="B24" s="5" t="s">
        <v>336</v>
      </c>
      <c r="C24" s="5" t="s">
        <v>337</v>
      </c>
      <c r="D24" s="5" t="s">
        <v>275</v>
      </c>
      <c r="E24" s="5" t="s">
        <v>338</v>
      </c>
    </row>
    <row r="25" spans="1:5" x14ac:dyDescent="0.25">
      <c r="A25" s="4" t="s">
        <v>339</v>
      </c>
      <c r="B25" s="5" t="s">
        <v>336</v>
      </c>
      <c r="C25" s="5" t="s">
        <v>340</v>
      </c>
      <c r="D25" s="5" t="s">
        <v>288</v>
      </c>
      <c r="E25" s="5" t="s">
        <v>263</v>
      </c>
    </row>
    <row r="26" spans="1:5" x14ac:dyDescent="0.25">
      <c r="A26" s="4" t="s">
        <v>257</v>
      </c>
      <c r="B26" s="5" t="s">
        <v>341</v>
      </c>
      <c r="C26" s="5" t="s">
        <v>342</v>
      </c>
      <c r="D26" s="5" t="s">
        <v>275</v>
      </c>
      <c r="E26" s="5" t="s">
        <v>343</v>
      </c>
    </row>
  </sheetData>
  <autoFilter ref="A1:E2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defaultRowHeight="15" x14ac:dyDescent="0.25"/>
  <cols>
    <col min="1" max="1" width="14" customWidth="1"/>
  </cols>
  <sheetData>
    <row r="1" spans="1:1" x14ac:dyDescent="0.25">
      <c r="A1" s="8" t="s">
        <v>7</v>
      </c>
    </row>
    <row r="2" spans="1:1" x14ac:dyDescent="0.25">
      <c r="A2" t="s">
        <v>16</v>
      </c>
    </row>
    <row r="3" spans="1:1" x14ac:dyDescent="0.25">
      <c r="A3" t="s">
        <v>344</v>
      </c>
    </row>
    <row r="4" spans="1:1" x14ac:dyDescent="0.25">
      <c r="A4" t="s">
        <v>345</v>
      </c>
    </row>
    <row r="5" spans="1:1" x14ac:dyDescent="0.25">
      <c r="A5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DB Posts</vt:lpstr>
      <vt:lpstr>DB Comments</vt:lpstr>
      <vt:lpstr>DB Reported Posts</vt:lpstr>
      <vt:lpstr>DB Map Notes</vt:lpstr>
      <vt:lpstr>DB Postcards</vt:lpstr>
      <vt:lpstr>DB Bug Reports</vt:lpstr>
      <vt:lpstr>DB Device Identities</vt:lpstr>
      <vt:lpstr>DB Settings</vt:lpstr>
      <vt:lpstr>Test Data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2026-09-07T15:24:31Z</dcterms:created>
  <dcterms:modified xsi:type="dcterms:W3CDTF">2026-09-10T15:50:43Z</dcterms:modified>
</cp:coreProperties>
</file>